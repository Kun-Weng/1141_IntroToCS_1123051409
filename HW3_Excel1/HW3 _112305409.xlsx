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崑\Desktop\機概\1141_IntroToCS_1123051409\HW3_Excel1\"/>
    </mc:Choice>
  </mc:AlternateContent>
  <xr:revisionPtr revIDLastSave="0" documentId="13_ncr:1_{3446B351-98EA-454A-8920-6460B740F8F4}" xr6:coauthVersionLast="47" xr6:coauthVersionMax="47" xr10:uidLastSave="{00000000-0000-0000-0000-000000000000}"/>
  <bookViews>
    <workbookView xWindow="-108" yWindow="-108" windowWidth="23256" windowHeight="12456" xr2:uid="{60C2E2F6-AD98-4042-9BF5-DA3DB7B4AD4C}"/>
  </bookViews>
  <sheets>
    <sheet name="工作表1" sheetId="1" r:id="rId1"/>
  </sheets>
  <definedNames>
    <definedName name="_xlchart.v1.0" hidden="1">工作表1!$J$18</definedName>
    <definedName name="_xlchart.v1.1" hidden="1">工作表1!$J$18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M18" i="1"/>
  <c r="M17" i="1"/>
  <c r="L3" i="1" a="1"/>
  <c r="L3" i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/>
  <c r="L12" i="1" a="1"/>
  <c r="L12" i="1"/>
  <c r="L13" i="1" a="1"/>
  <c r="L13" i="1" s="1"/>
  <c r="L14" i="1" a="1"/>
  <c r="L14" i="1"/>
  <c r="L15" i="1" a="1"/>
  <c r="L15" i="1" s="1"/>
  <c r="J17" i="1"/>
  <c r="D17" i="1"/>
  <c r="C17" i="1"/>
  <c r="L2" i="1" a="1"/>
  <c r="L2" i="1" s="1"/>
  <c r="K3" i="1" a="1"/>
  <c r="K3" i="1" s="1"/>
  <c r="K4" i="1" a="1"/>
  <c r="K4" i="1" s="1"/>
  <c r="K5" i="1" a="1"/>
  <c r="K5" i="1"/>
  <c r="K6" i="1" a="1"/>
  <c r="K6" i="1" s="1"/>
  <c r="K7" i="1" a="1"/>
  <c r="K7" i="1" s="1"/>
  <c r="K8" i="1" a="1"/>
  <c r="K8" i="1"/>
  <c r="K9" i="1" a="1"/>
  <c r="K9" i="1" s="1"/>
  <c r="K10" i="1" a="1"/>
  <c r="K10" i="1"/>
  <c r="K11" i="1" a="1"/>
  <c r="K11" i="1" s="1"/>
  <c r="K12" i="1" a="1"/>
  <c r="K12" i="1"/>
  <c r="K13" i="1" a="1"/>
  <c r="K13" i="1"/>
  <c r="K14" i="1" a="1"/>
  <c r="K14" i="1"/>
  <c r="K15" i="1" a="1"/>
  <c r="K15" i="1" s="1"/>
  <c r="K2" i="1" a="1"/>
  <c r="K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<sst xmlns="http://schemas.openxmlformats.org/spreadsheetml/2006/main" count="34" uniqueCount="34">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</sst>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>
      <alignment horizontal="center"/>
    </xf>
    <xf numFmtId="0" fontId="0" fillId="0" borderId="0" xfId="0" applyFill="1" applyBorder="1">
      <alignment vertical="center"/>
    </xf>
  </cellXfs>
  <cellStyles count="1">
    <cellStyle name="一般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FF99"/>
      <color rgb="FFFFB9B9"/>
      <color rgb="FFFF33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 overall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80.800000000000011</c:v>
                </c:pt>
                <c:pt idx="4">
                  <c:v>84.7</c:v>
                </c:pt>
                <c:pt idx="5">
                  <c:v>80.800000000000011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0-47A5-A7DB-273998508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145807"/>
        <c:axId val="1820144367"/>
      </c:barChart>
      <c:catAx>
        <c:axId val="182014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20144367"/>
        <c:crosses val="autoZero"/>
        <c:auto val="1"/>
        <c:lblAlgn val="ctr"/>
        <c:lblOffset val="100"/>
        <c:noMultiLvlLbl val="0"/>
      </c:catAx>
      <c:valAx>
        <c:axId val="182014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2014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FF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2BD-4B10-824F-5A18D3B0A69B}"/>
              </c:ext>
            </c:extLst>
          </c:dPt>
          <c:dPt>
            <c:idx val="1"/>
            <c:bubble3D val="0"/>
            <c:spPr>
              <a:solidFill>
                <a:srgbClr val="FFB9B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BD-4B10-824F-5A18D3B0A69B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52BD-4B10-824F-5A18D3B0A69B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工作表1!$L$17:$L$18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工作表1!$M$17:$M$18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D-4B10-824F-5A18D3B0A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24</xdr:row>
      <xdr:rowOff>99060</xdr:rowOff>
    </xdr:from>
    <xdr:to>
      <xdr:col>11</xdr:col>
      <xdr:colOff>251460</xdr:colOff>
      <xdr:row>38</xdr:row>
      <xdr:rowOff>83820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2A301A9F-DA90-4161-22ED-19371F87F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731520</xdr:colOff>
      <xdr:row>18</xdr:row>
      <xdr:rowOff>190500</xdr:rowOff>
    </xdr:from>
    <xdr:to>
      <xdr:col>16</xdr:col>
      <xdr:colOff>533400</xdr:colOff>
      <xdr:row>29</xdr:row>
      <xdr:rowOff>99060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BE13294D-D220-D83A-94A9-80C553DAC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M24"/>
  <sheetViews>
    <sheetView tabSelected="1" workbookViewId="0">
      <selection activeCell="H19" sqref="H19"/>
    </sheetView>
  </sheetViews>
  <sheetFormatPr defaultRowHeight="16.2"/>
  <cols>
    <col min="3" max="4" width="13" bestFit="1" customWidth="1"/>
    <col min="8" max="8" width="18.6640625" bestFit="1" customWidth="1"/>
    <col min="10" max="10" width="16.109375" bestFit="1" customWidth="1"/>
    <col min="11" max="11" width="24.21875" customWidth="1"/>
    <col min="12" max="12" width="23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7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 s="5">
        <f>SUM(C2:G2)*0.1+I2*0.5</f>
        <v>91.7</v>
      </c>
      <c r="K2" s="5" t="str" cm="1">
        <f t="array" ref="K2">_xlfn.IFS(J2&gt;=90,"A",J2&gt;=80,"B",J2&gt;=70,"C",J2&gt;=60,"D",J2&gt;=0,"F")</f>
        <v>A</v>
      </c>
      <c r="L2" s="6" t="str" cm="1">
        <f t="array" ref="L2">_xlfn.IFS(J2&gt;=60,"pass",J2&lt;60,"fail")</f>
        <v>pass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 s="5">
        <f t="shared" ref="J3:J15" si="1">SUM(C3:G3)*0.1+I3*0.5</f>
        <v>90</v>
      </c>
      <c r="K3" s="5" t="str" cm="1">
        <f t="array" ref="K3">_xlfn.IFS(J3&gt;=90,"A",J3&gt;=80,"B",J3&gt;=70,"C",J3&gt;=60,"D",J3&gt;=0,"F")</f>
        <v>A</v>
      </c>
      <c r="L3" s="6" t="str" cm="1">
        <f t="array" ref="L3">_xlfn.IFS(J3&gt;=60,"pass",J3&lt;60,"fail")</f>
        <v>pass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 s="5">
        <f t="shared" si="1"/>
        <v>81.2</v>
      </c>
      <c r="K4" s="5" t="str" cm="1">
        <f t="array" ref="K4">_xlfn.IFS(J4&gt;=90,"A",J4&gt;=80,"B",J4&gt;=70,"C",J4&gt;=60,"D",J4&gt;=0,"F")</f>
        <v>B</v>
      </c>
      <c r="L4" s="6" t="str" cm="1">
        <f t="array" ref="L4">_xlfn.IFS(J4&gt;=60,"pass",J4&lt;60,"fail")</f>
        <v>pass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 s="5">
        <f t="shared" si="1"/>
        <v>80.800000000000011</v>
      </c>
      <c r="K5" s="5" t="str" cm="1">
        <f t="array" ref="K5">_xlfn.IFS(J5&gt;=90,"A",J5&gt;=80,"B",J5&gt;=70,"C",J5&gt;=60,"D",J5&gt;=0,"F")</f>
        <v>B</v>
      </c>
      <c r="L5" s="6" t="str" cm="1">
        <f t="array" ref="L5">_xlfn.IFS(J5&gt;=60,"pass",J5&lt;60,"fail")</f>
        <v>pass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 s="5">
        <f t="shared" si="1"/>
        <v>84.7</v>
      </c>
      <c r="K6" s="5" t="str" cm="1">
        <f t="array" ref="K6">_xlfn.IFS(J6&gt;=90,"A",J6&gt;=80,"B",J6&gt;=70,"C",J6&gt;=60,"D",J6&gt;=0,"F")</f>
        <v>B</v>
      </c>
      <c r="L6" s="6" t="str" cm="1">
        <f t="array" ref="L6">_xlfn.IFS(J6&gt;=60,"pass",J6&lt;60,"fail")</f>
        <v>pass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 s="5">
        <f t="shared" si="1"/>
        <v>80.800000000000011</v>
      </c>
      <c r="K7" s="5" t="str" cm="1">
        <f t="array" ref="K7">_xlfn.IFS(J7&gt;=90,"A",J7&gt;=80,"B",J7&gt;=70,"C",J7&gt;=60,"D",J7&gt;=0,"F")</f>
        <v>B</v>
      </c>
      <c r="L7" s="6" t="str" cm="1">
        <f t="array" ref="L7">_xlfn.IFS(J7&gt;=60,"pass",J7&lt;60,"fail")</f>
        <v>pass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 s="5">
        <f t="shared" si="1"/>
        <v>77.900000000000006</v>
      </c>
      <c r="K8" s="5" t="str" cm="1">
        <f t="array" ref="K8">_xlfn.IFS(J8&gt;=90,"A",J8&gt;=80,"B",J8&gt;=70,"C",J8&gt;=60,"D",J8&gt;=0,"F")</f>
        <v>C</v>
      </c>
      <c r="L8" s="6" t="str" cm="1">
        <f t="array" ref="L8">_xlfn.IFS(J8&gt;=60,"pass",J8&lt;60,"fail")</f>
        <v>pass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 s="5">
        <f t="shared" si="1"/>
        <v>74.2</v>
      </c>
      <c r="K9" s="5" t="str" cm="1">
        <f t="array" ref="K9">_xlfn.IFS(J9&gt;=90,"A",J9&gt;=80,"B",J9&gt;=70,"C",J9&gt;=60,"D",J9&gt;=0,"F")</f>
        <v>C</v>
      </c>
      <c r="L9" s="6" t="str" cm="1">
        <f t="array" ref="L9">_xlfn.IFS(J9&gt;=60,"pass",J9&lt;60,"fail")</f>
        <v>pass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 s="5">
        <f t="shared" si="1"/>
        <v>75.2</v>
      </c>
      <c r="K10" s="5" t="str" cm="1">
        <f t="array" ref="K10">_xlfn.IFS(J10&gt;=90,"A",J10&gt;=80,"B",J10&gt;=70,"C",J10&gt;=60,"D",J10&gt;=0,"F")</f>
        <v>C</v>
      </c>
      <c r="L10" s="6" t="str" cm="1">
        <f t="array" ref="L10">_xlfn.IFS(J10&gt;=60,"pass",J10&lt;60,"fail")</f>
        <v>pass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 s="5">
        <f t="shared" si="1"/>
        <v>77.599999999999994</v>
      </c>
      <c r="K11" s="5" t="str" cm="1">
        <f t="array" ref="K11">_xlfn.IFS(J11&gt;=90,"A",J11&gt;=80,"B",J11&gt;=70,"C",J11&gt;=60,"D",J11&gt;=0,"F")</f>
        <v>C</v>
      </c>
      <c r="L11" s="6" t="str" cm="1">
        <f t="array" ref="L11">_xlfn.IFS(J11&gt;=60,"pass",J11&lt;60,"fail")</f>
        <v>pass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 s="5">
        <f t="shared" si="1"/>
        <v>80.599999999999994</v>
      </c>
      <c r="K12" s="5" t="str" cm="1">
        <f t="array" ref="K12">_xlfn.IFS(J12&gt;=90,"A",J12&gt;=80,"B",J12&gt;=70,"C",J12&gt;=60,"D",J12&gt;=0,"F")</f>
        <v>B</v>
      </c>
      <c r="L12" s="6" t="str" cm="1">
        <f t="array" ref="L12">_xlfn.IFS(J12&gt;=60,"pass",J12&lt;60,"fail")</f>
        <v>pass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 s="5">
        <f t="shared" si="1"/>
        <v>59</v>
      </c>
      <c r="K13" s="5" t="str" cm="1">
        <f t="array" ref="K13">_xlfn.IFS(J13&gt;=90,"A",J13&gt;=80,"B",J13&gt;=70,"C",J13&gt;=60,"D",J13&gt;=0,"F")</f>
        <v>F</v>
      </c>
      <c r="L13" s="6" t="str" cm="1">
        <f t="array" ref="L13">_xlfn.IFS(J13&gt;=60,"pass",J13&lt;60,"fail")</f>
        <v>fail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 s="5">
        <f t="shared" si="1"/>
        <v>66.900000000000006</v>
      </c>
      <c r="K14" s="5" t="str" cm="1">
        <f t="array" ref="K14">_xlfn.IFS(J14&gt;=90,"A",J14&gt;=80,"B",J14&gt;=70,"C",J14&gt;=60,"D",J14&gt;=0,"F")</f>
        <v>D</v>
      </c>
      <c r="L14" s="6" t="str" cm="1">
        <f t="array" ref="L14">_xlfn.IFS(J14&gt;=60,"pass",J14&lt;60,"fail")</f>
        <v>pass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 s="5">
        <f t="shared" si="1"/>
        <v>55.6</v>
      </c>
      <c r="K15" s="5" t="str" cm="1">
        <f t="array" ref="K15">_xlfn.IFS(J15&gt;=90,"A",J15&gt;=80,"B",J15&gt;=70,"C",J15&gt;=60,"D",J15&gt;=0,"F")</f>
        <v>F</v>
      </c>
      <c r="L15" s="6" t="str" cm="1">
        <f t="array" ref="L15">_xlfn.IFS(J15&gt;=60,"pass",J15&lt;60,"fail")</f>
        <v>fail</v>
      </c>
    </row>
    <row r="16" spans="1:12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3">
      <c r="C17">
        <f>LARGE(C2:C15,1)</f>
        <v>98</v>
      </c>
      <c r="D17">
        <f>LARGE(D2:D15,2)</f>
        <v>92</v>
      </c>
      <c r="H17" s="1">
        <f>COUNTIF(H2:H15,"&lt;80")</f>
        <v>8</v>
      </c>
      <c r="J17" s="5">
        <f>AVERAGE(J2:J15)</f>
        <v>76.871428571428581</v>
      </c>
      <c r="L17" t="s">
        <v>32</v>
      </c>
      <c r="M17" s="8">
        <f>COUNTIF(L2:L15,"pass")</f>
        <v>12</v>
      </c>
    </row>
    <row r="18" spans="3:13">
      <c r="L18" t="s">
        <v>33</v>
      </c>
      <c r="M18" s="8">
        <f>COUNTIF(L2:L15,"fail")</f>
        <v>2</v>
      </c>
    </row>
    <row r="24" spans="3:13">
      <c r="J24" s="4" t="s">
        <v>30</v>
      </c>
    </row>
  </sheetData>
  <phoneticPr fontId="2" type="noConversion"/>
  <conditionalFormatting sqref="L2:L15 M17:M18">
    <cfRule type="containsText" dxfId="4" priority="4" operator="containsText" text="pass">
      <formula>NOT(ISERROR(SEARCH("pass",L2)))</formula>
    </cfRule>
    <cfRule type="cellIs" dxfId="3" priority="6" operator="equal">
      <formula>"pass"</formula>
    </cfRule>
  </conditionalFormatting>
  <conditionalFormatting sqref="L13:L15 M17:M18">
    <cfRule type="containsText" dxfId="2" priority="3" operator="containsText" text="fail">
      <formula>NOT(ISERROR(SEARCH("fail",L13)))</formula>
    </cfRule>
  </conditionalFormatting>
  <conditionalFormatting sqref="L2:L15 M17:M18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岷崑 翁</cp:lastModifiedBy>
  <dcterms:created xsi:type="dcterms:W3CDTF">2023-10-19T05:27:10Z</dcterms:created>
  <dcterms:modified xsi:type="dcterms:W3CDTF">2025-10-08T16:29:07Z</dcterms:modified>
</cp:coreProperties>
</file>